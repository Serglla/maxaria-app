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roba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<sst xmlns="http://schemas.openxmlformats.org/spreadsheetml/2006/main" count="254" uniqueCount="133">
  <si>
    <t xml:space="preserve">Control de comprobantes de transferencia — Discandi Contabilidad</t>
  </si>
  <si>
    <t xml:space="preserve">Período leído: 06/06/2026 al 16/06/2026 (PARCIAL — falta 16/05 a 05/06, se continúa en otra corrida)</t>
  </si>
  <si>
    <t xml:space="preserve">Fuente: grupo de WhatsApp "Discandi Contabilidad". Generado el 17/06/2026.</t>
  </si>
  <si>
    <t xml:space="preserve">Fecha</t>
  </si>
  <si>
    <t xml:space="preserve">Hora</t>
  </si>
  <si>
    <t xml:space="preserve">Pagador / Origen</t>
  </si>
  <si>
    <t xml:space="preserve">Medio</t>
  </si>
  <si>
    <t xml:space="preserve">Monto</t>
  </si>
  <si>
    <t xml:space="preserve">N° operación</t>
  </si>
  <si>
    <t xml:space="preserve">Estado</t>
  </si>
  <si>
    <t xml:space="preserve">Observaciones</t>
  </si>
  <si>
    <t xml:space="preserve">2026-06-06</t>
  </si>
  <si>
    <t xml:space="preserve">18:51</t>
  </si>
  <si>
    <t xml:space="preserve">Miguel Sanchez</t>
  </si>
  <si>
    <t xml:space="preserve">Mercado Pago</t>
  </si>
  <si>
    <t xml:space="preserve">162085741975</t>
  </si>
  <si>
    <t xml:space="preserve">OK</t>
  </si>
  <si>
    <t xml:space="preserve">destino Personal Pay</t>
  </si>
  <si>
    <t xml:space="preserve">2026-06-08</t>
  </si>
  <si>
    <t xml:space="preserve">s/d</t>
  </si>
  <si>
    <t xml:space="preserve">s/d (foto)</t>
  </si>
  <si>
    <t xml:space="preserve">Mercado Pago (foto)</t>
  </si>
  <si>
    <t xml:space="preserve">Revisar</t>
  </si>
  <si>
    <t xml:space="preserve">paga nota pedido Andrea Faure</t>
  </si>
  <si>
    <t xml:space="preserve">Felipe</t>
  </si>
  <si>
    <t xml:space="preserve">caption "De Felipe"</t>
  </si>
  <si>
    <t xml:space="preserve">~17:33</t>
  </si>
  <si>
    <t xml:space="preserve">Susana Maria Barrios</t>
  </si>
  <si>
    <t xml:space="preserve">19:41</t>
  </si>
  <si>
    <t xml:space="preserve">Maria Victoria Siri</t>
  </si>
  <si>
    <t xml:space="preserve">163192792434</t>
  </si>
  <si>
    <t xml:space="preserve">2026-06-09</t>
  </si>
  <si>
    <t xml:space="preserve">s/d (Brubank exito)</t>
  </si>
  <si>
    <t xml:space="preserve">Brubank (foto)</t>
  </si>
  <si>
    <t xml:space="preserve">pantalla de exito alias maxariabru</t>
  </si>
  <si>
    <t xml:space="preserve">paga nota pedido; total 44.099.07</t>
  </si>
  <si>
    <t xml:space="preserve">paga nota pedido</t>
  </si>
  <si>
    <t xml:space="preserve">18:38</t>
  </si>
  <si>
    <t xml:space="preserve">Sandra Carina Gurnel</t>
  </si>
  <si>
    <t xml:space="preserve">163346276260</t>
  </si>
  <si>
    <t xml:space="preserve">18:57</t>
  </si>
  <si>
    <t xml:space="preserve">Debora Jesus Dure</t>
  </si>
  <si>
    <t xml:space="preserve">162544453757</t>
  </si>
  <si>
    <t xml:space="preserve">20:57</t>
  </si>
  <si>
    <t xml:space="preserve">Maria De Los Angeles Bonetto</t>
  </si>
  <si>
    <t xml:space="preserve">163368757414</t>
  </si>
  <si>
    <t xml:space="preserve">21:10</t>
  </si>
  <si>
    <t xml:space="preserve">Transferencia bancaria (foto)</t>
  </si>
  <si>
    <t xml:space="preserve">destino Brubank</t>
  </si>
  <si>
    <t xml:space="preserve">2026-06-11</t>
  </si>
  <si>
    <t xml:space="preserve">Daniel Pablo Zabala</t>
  </si>
  <si>
    <t xml:space="preserve">paga nota pedido 10852; fecha transf no 100% legible</t>
  </si>
  <si>
    <t xml:space="preserve">18:16</t>
  </si>
  <si>
    <t xml:space="preserve">Gimena Bordet</t>
  </si>
  <si>
    <t xml:space="preserve">163672596050</t>
  </si>
  <si>
    <t xml:space="preserve">18:32</t>
  </si>
  <si>
    <t xml:space="preserve">Ducret Micaela Ailen</t>
  </si>
  <si>
    <t xml:space="preserve">Banco Macro</t>
  </si>
  <si>
    <t xml:space="preserve">3914</t>
  </si>
  <si>
    <t xml:space="preserve">19:02</t>
  </si>
  <si>
    <t xml:space="preserve">Maria Silvia Blanc</t>
  </si>
  <si>
    <t xml:space="preserve">Naranja X</t>
  </si>
  <si>
    <t xml:space="preserve">7874c7e0-3312-497f-a484-2e778cccef48</t>
  </si>
  <si>
    <t xml:space="preserve">19:22</t>
  </si>
  <si>
    <t xml:space="preserve">Marcela Alejandra Perez</t>
  </si>
  <si>
    <t xml:space="preserve">163685545476</t>
  </si>
  <si>
    <t xml:space="preserve">19:32</t>
  </si>
  <si>
    <t xml:space="preserve">Silvia Lorena Curbelo</t>
  </si>
  <si>
    <t xml:space="preserve">163688366678</t>
  </si>
  <si>
    <t xml:space="preserve">2026-06-12</t>
  </si>
  <si>
    <t xml:space="preserve">s/d (foto rotada)</t>
  </si>
  <si>
    <t xml:space="preserve">paga nota pedido; monto 100.002.61</t>
  </si>
  <si>
    <t xml:space="preserve">s/d (Caja de Ahorro)</t>
  </si>
  <si>
    <t xml:space="preserve">paga nota pedido 10134</t>
  </si>
  <si>
    <t xml:space="preserve">11:57</t>
  </si>
  <si>
    <t xml:space="preserve">Ana Carolina Soria</t>
  </si>
  <si>
    <t xml:space="preserve">~162970479423</t>
  </si>
  <si>
    <t xml:space="preserve">foto pantalla rota</t>
  </si>
  <si>
    <t xml:space="preserve">12:02</t>
  </si>
  <si>
    <t xml:space="preserve">Elena Beatriz Gimenez</t>
  </si>
  <si>
    <t xml:space="preserve">163780388428</t>
  </si>
  <si>
    <t xml:space="preserve">12:36</t>
  </si>
  <si>
    <t xml:space="preserve">s/d (Caja de Ahorro 178-6339/4)</t>
  </si>
  <si>
    <t xml:space="preserve">~2027130092</t>
  </si>
  <si>
    <t xml:space="preserve">paga nota pedido 10849 Yamila Brem</t>
  </si>
  <si>
    <t xml:space="preserve">14:07</t>
  </si>
  <si>
    <t xml:space="preserve">Dalma Daiana Arrua</t>
  </si>
  <si>
    <t xml:space="preserve">162993107455</t>
  </si>
  <si>
    <t xml:space="preserve">18:56</t>
  </si>
  <si>
    <t xml:space="preserve">Agustin Enrique Ojeda</t>
  </si>
  <si>
    <t xml:space="preserve">163852192280</t>
  </si>
  <si>
    <t xml:space="preserve">2026-06-13</t>
  </si>
  <si>
    <t xml:space="preserve">08:48</t>
  </si>
  <si>
    <t xml:space="preserve">s/d (PDF Brubank)</t>
  </si>
  <si>
    <t xml:space="preserve">Brubank</t>
  </si>
  <si>
    <t xml:space="preserve">1795260910</t>
  </si>
  <si>
    <t xml:space="preserve">comprobante PDF</t>
  </si>
  <si>
    <t xml:space="preserve">10:35</t>
  </si>
  <si>
    <t xml:space="preserve">Lorena Yamila Caceres</t>
  </si>
  <si>
    <t xml:space="preserve">163119741283</t>
  </si>
  <si>
    <t xml:space="preserve">10:54</t>
  </si>
  <si>
    <t xml:space="preserve">Nora Josefa Gonzalez</t>
  </si>
  <si>
    <t xml:space="preserve">163123234119</t>
  </si>
  <si>
    <t xml:space="preserve">11:25</t>
  </si>
  <si>
    <t xml:space="preserve">Rita Ramona Alvarez</t>
  </si>
  <si>
    <t xml:space="preserve">163936645154</t>
  </si>
  <si>
    <t xml:space="preserve">12:33</t>
  </si>
  <si>
    <t xml:space="preserve">s/d (pantalla Brubank)</t>
  </si>
  <si>
    <t xml:space="preserve">pantalla de exito sin remitente ni operacion</t>
  </si>
  <si>
    <t xml:space="preserve">14:10</t>
  </si>
  <si>
    <t xml:space="preserve">Ines Alejandra Caraballo</t>
  </si>
  <si>
    <t xml:space="preserve">163964889686</t>
  </si>
  <si>
    <t xml:space="preserve">14:24</t>
  </si>
  <si>
    <t xml:space="preserve">Mirta Estela Arce</t>
  </si>
  <si>
    <t xml:space="preserve">163156626097</t>
  </si>
  <si>
    <t xml:space="preserve">2026-06-15</t>
  </si>
  <si>
    <t xml:space="preserve">11:08</t>
  </si>
  <si>
    <t xml:space="preserve">163395956325</t>
  </si>
  <si>
    <t xml:space="preserve">transferencia del 15/06 posteada el 16/06</t>
  </si>
  <si>
    <t xml:space="preserve">2026-06-16</t>
  </si>
  <si>
    <t xml:space="preserve">08:57</t>
  </si>
  <si>
    <t xml:space="preserve">Laura Cristina Raviol</t>
  </si>
  <si>
    <t xml:space="preserve">164345149906</t>
  </si>
  <si>
    <t xml:space="preserve">~11:00</t>
  </si>
  <si>
    <t xml:space="preserve">Susana Marta Barrios</t>
  </si>
  <si>
    <t xml:space="preserve">nro operacion no legible en foto</t>
  </si>
  <si>
    <t xml:space="preserve">36 comprobantes</t>
  </si>
  <si>
    <t xml:space="preserve">TOTAL transferido</t>
  </si>
  <si>
    <t xml:space="preserve">Notas:</t>
  </si>
  <si>
    <t xml:space="preserve">• Pago en EFECTIVO informado por Vanesa: $600.000 entregado el 10/06 (NO incluido en el total de transferencias).</t>
  </si>
  <si>
    <t xml:space="preserve">• Filas en amarillo = "Revisar": comprobante en foto/pantalla sin N° de operación legible o sin nombre del remitente.</t>
  </si>
  <si>
    <t xml:space="preserve">• Cada monto leído coincide con el control manuscrito de Vanesa.</t>
  </si>
  <si>
    <t xml:space="preserve">• PENDIENTE: transferencias del 16/05 al 05/06 (varias hojas de control más, por leer).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</si>
</sst>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CD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5" t="s">
        <v>13</v>
      </c>
      <c r="D6" s="5" t="s">
        <v>14</v>
      </c>
      <c r="E6" s="6" t="n">
        <v>53738</v>
      </c>
      <c r="F6" s="5" t="s">
        <v>15</v>
      </c>
      <c r="G6" s="4" t="s">
        <v>16</v>
      </c>
      <c r="H6" s="5" t="s">
        <v>17</v>
      </c>
    </row>
    <row r="7" customFormat="false" ht="15" hidden="false" customHeight="false" outlineLevel="0" collapsed="false">
      <c r="A7" s="7" t="s">
        <v>18</v>
      </c>
      <c r="B7" s="7" t="s">
        <v>19</v>
      </c>
      <c r="C7" s="8" t="s">
        <v>20</v>
      </c>
      <c r="D7" s="8" t="s">
        <v>21</v>
      </c>
      <c r="E7" s="9" t="n">
        <v>21946</v>
      </c>
      <c r="F7" s="8" t="s">
        <v>19</v>
      </c>
      <c r="G7" s="7" t="s">
        <v>22</v>
      </c>
      <c r="H7" s="8" t="s">
        <v>23</v>
      </c>
    </row>
    <row r="8" customFormat="false" ht="15" hidden="false" customHeight="false" outlineLevel="0" collapsed="false">
      <c r="A8" s="7" t="s">
        <v>18</v>
      </c>
      <c r="B8" s="7" t="s">
        <v>19</v>
      </c>
      <c r="C8" s="8" t="s">
        <v>24</v>
      </c>
      <c r="D8" s="8" t="s">
        <v>21</v>
      </c>
      <c r="E8" s="9" t="n">
        <v>39054</v>
      </c>
      <c r="F8" s="8" t="s">
        <v>19</v>
      </c>
      <c r="G8" s="7" t="s">
        <v>22</v>
      </c>
      <c r="H8" s="8" t="s">
        <v>25</v>
      </c>
    </row>
    <row r="9" customFormat="false" ht="15" hidden="false" customHeight="false" outlineLevel="0" collapsed="false">
      <c r="A9" s="7" t="s">
        <v>18</v>
      </c>
      <c r="B9" s="7" t="s">
        <v>26</v>
      </c>
      <c r="C9" s="8" t="s">
        <v>27</v>
      </c>
      <c r="D9" s="8" t="s">
        <v>21</v>
      </c>
      <c r="E9" s="9" t="n">
        <v>73404</v>
      </c>
      <c r="F9" s="8" t="s">
        <v>19</v>
      </c>
      <c r="G9" s="7" t="s">
        <v>22</v>
      </c>
      <c r="H9" s="8" t="s">
        <v>17</v>
      </c>
    </row>
    <row r="10" customFormat="false" ht="15" hidden="false" customHeight="false" outlineLevel="0" collapsed="false">
      <c r="A10" s="4" t="s">
        <v>18</v>
      </c>
      <c r="B10" s="4" t="s">
        <v>28</v>
      </c>
      <c r="C10" s="5" t="s">
        <v>29</v>
      </c>
      <c r="D10" s="5" t="s">
        <v>14</v>
      </c>
      <c r="E10" s="6" t="n">
        <v>25000</v>
      </c>
      <c r="F10" s="5" t="s">
        <v>30</v>
      </c>
      <c r="G10" s="4" t="s">
        <v>16</v>
      </c>
      <c r="H10" s="5" t="s">
        <v>17</v>
      </c>
    </row>
    <row r="11" customFormat="false" ht="15" hidden="false" customHeight="false" outlineLevel="0" collapsed="false">
      <c r="A11" s="7" t="s">
        <v>31</v>
      </c>
      <c r="B11" s="7" t="s">
        <v>19</v>
      </c>
      <c r="C11" s="8" t="s">
        <v>32</v>
      </c>
      <c r="D11" s="8" t="s">
        <v>33</v>
      </c>
      <c r="E11" s="9" t="n">
        <v>34314</v>
      </c>
      <c r="F11" s="8" t="s">
        <v>19</v>
      </c>
      <c r="G11" s="7" t="s">
        <v>22</v>
      </c>
      <c r="H11" s="8" t="s">
        <v>34</v>
      </c>
    </row>
    <row r="12" customFormat="false" ht="15" hidden="false" customHeight="false" outlineLevel="0" collapsed="false">
      <c r="A12" s="7" t="s">
        <v>31</v>
      </c>
      <c r="B12" s="7" t="s">
        <v>19</v>
      </c>
      <c r="C12" s="8" t="s">
        <v>20</v>
      </c>
      <c r="D12" s="8" t="s">
        <v>21</v>
      </c>
      <c r="E12" s="9" t="n">
        <v>44099</v>
      </c>
      <c r="F12" s="8" t="s">
        <v>19</v>
      </c>
      <c r="G12" s="7" t="s">
        <v>22</v>
      </c>
      <c r="H12" s="8" t="s">
        <v>35</v>
      </c>
    </row>
    <row r="13" customFormat="false" ht="15" hidden="false" customHeight="false" outlineLevel="0" collapsed="false">
      <c r="A13" s="7" t="s">
        <v>31</v>
      </c>
      <c r="B13" s="7" t="s">
        <v>19</v>
      </c>
      <c r="C13" s="8" t="s">
        <v>20</v>
      </c>
      <c r="D13" s="8" t="s">
        <v>21</v>
      </c>
      <c r="E13" s="9" t="n">
        <v>41064</v>
      </c>
      <c r="F13" s="8" t="s">
        <v>19</v>
      </c>
      <c r="G13" s="7" t="s">
        <v>22</v>
      </c>
      <c r="H13" s="8" t="s">
        <v>36</v>
      </c>
    </row>
    <row r="14" customFormat="false" ht="15" hidden="false" customHeight="false" outlineLevel="0" collapsed="false">
      <c r="A14" s="4" t="s">
        <v>31</v>
      </c>
      <c r="B14" s="4" t="s">
        <v>37</v>
      </c>
      <c r="C14" s="5" t="s">
        <v>38</v>
      </c>
      <c r="D14" s="5" t="s">
        <v>14</v>
      </c>
      <c r="E14" s="6" t="n">
        <v>5918</v>
      </c>
      <c r="F14" s="5" t="s">
        <v>39</v>
      </c>
      <c r="G14" s="4" t="s">
        <v>16</v>
      </c>
      <c r="H14" s="5"/>
    </row>
    <row r="15" customFormat="false" ht="15" hidden="false" customHeight="false" outlineLevel="0" collapsed="false">
      <c r="A15" s="4" t="s">
        <v>31</v>
      </c>
      <c r="B15" s="4" t="s">
        <v>40</v>
      </c>
      <c r="C15" s="5" t="s">
        <v>41</v>
      </c>
      <c r="D15" s="5" t="s">
        <v>14</v>
      </c>
      <c r="E15" s="6" t="n">
        <v>40000</v>
      </c>
      <c r="F15" s="5" t="s">
        <v>42</v>
      </c>
      <c r="G15" s="4" t="s">
        <v>16</v>
      </c>
      <c r="H15" s="5"/>
    </row>
    <row r="16" customFormat="false" ht="15" hidden="false" customHeight="false" outlineLevel="0" collapsed="false">
      <c r="A16" s="4" t="s">
        <v>31</v>
      </c>
      <c r="B16" s="4" t="s">
        <v>43</v>
      </c>
      <c r="C16" s="5" t="s">
        <v>44</v>
      </c>
      <c r="D16" s="5" t="s">
        <v>14</v>
      </c>
      <c r="E16" s="6" t="n">
        <v>28806</v>
      </c>
      <c r="F16" s="5" t="s">
        <v>45</v>
      </c>
      <c r="G16" s="4" t="s">
        <v>16</v>
      </c>
      <c r="H16" s="5" t="s">
        <v>17</v>
      </c>
    </row>
    <row r="17" customFormat="false" ht="26.85" hidden="false" customHeight="false" outlineLevel="0" collapsed="false">
      <c r="A17" s="7" t="s">
        <v>31</v>
      </c>
      <c r="B17" s="7" t="s">
        <v>46</v>
      </c>
      <c r="C17" s="8" t="s">
        <v>19</v>
      </c>
      <c r="D17" s="8" t="s">
        <v>47</v>
      </c>
      <c r="E17" s="9" t="n">
        <v>33626</v>
      </c>
      <c r="F17" s="8" t="s">
        <v>19</v>
      </c>
      <c r="G17" s="7" t="s">
        <v>22</v>
      </c>
      <c r="H17" s="8" t="s">
        <v>48</v>
      </c>
    </row>
    <row r="18" customFormat="false" ht="26.85" hidden="false" customHeight="false" outlineLevel="0" collapsed="false">
      <c r="A18" s="7" t="s">
        <v>49</v>
      </c>
      <c r="B18" s="7" t="s">
        <v>19</v>
      </c>
      <c r="C18" s="8" t="s">
        <v>50</v>
      </c>
      <c r="D18" s="8" t="s">
        <v>21</v>
      </c>
      <c r="E18" s="9" t="n">
        <v>19118.61</v>
      </c>
      <c r="F18" s="8" t="s">
        <v>19</v>
      </c>
      <c r="G18" s="7" t="s">
        <v>22</v>
      </c>
      <c r="H18" s="8" t="s">
        <v>51</v>
      </c>
    </row>
    <row r="19" customFormat="false" ht="15" hidden="false" customHeight="false" outlineLevel="0" collapsed="false">
      <c r="A19" s="4" t="s">
        <v>49</v>
      </c>
      <c r="B19" s="4" t="s">
        <v>52</v>
      </c>
      <c r="C19" s="5" t="s">
        <v>53</v>
      </c>
      <c r="D19" s="5" t="s">
        <v>14</v>
      </c>
      <c r="E19" s="6" t="n">
        <v>11021</v>
      </c>
      <c r="F19" s="5" t="s">
        <v>54</v>
      </c>
      <c r="G19" s="4" t="s">
        <v>16</v>
      </c>
      <c r="H19" s="5"/>
    </row>
    <row r="20" customFormat="false" ht="15" hidden="false" customHeight="false" outlineLevel="0" collapsed="false">
      <c r="A20" s="4" t="s">
        <v>49</v>
      </c>
      <c r="B20" s="4" t="s">
        <v>55</v>
      </c>
      <c r="C20" s="5" t="s">
        <v>56</v>
      </c>
      <c r="D20" s="5" t="s">
        <v>57</v>
      </c>
      <c r="E20" s="6" t="n">
        <v>10000</v>
      </c>
      <c r="F20" s="5" t="s">
        <v>58</v>
      </c>
      <c r="G20" s="4" t="s">
        <v>16</v>
      </c>
      <c r="H20" s="5"/>
    </row>
    <row r="21" customFormat="false" ht="26.85" hidden="false" customHeight="false" outlineLevel="0" collapsed="false">
      <c r="A21" s="4" t="s">
        <v>49</v>
      </c>
      <c r="B21" s="4" t="s">
        <v>59</v>
      </c>
      <c r="C21" s="5" t="s">
        <v>60</v>
      </c>
      <c r="D21" s="5" t="s">
        <v>61</v>
      </c>
      <c r="E21" s="6" t="n">
        <v>17063.2</v>
      </c>
      <c r="F21" s="5" t="s">
        <v>62</v>
      </c>
      <c r="G21" s="4" t="s">
        <v>16</v>
      </c>
      <c r="H21" s="5"/>
    </row>
    <row r="22" customFormat="false" ht="15" hidden="false" customHeight="false" outlineLevel="0" collapsed="false">
      <c r="A22" s="4" t="s">
        <v>49</v>
      </c>
      <c r="B22" s="4" t="s">
        <v>63</v>
      </c>
      <c r="C22" s="5" t="s">
        <v>64</v>
      </c>
      <c r="D22" s="5" t="s">
        <v>14</v>
      </c>
      <c r="E22" s="6" t="n">
        <v>93141</v>
      </c>
      <c r="F22" s="5" t="s">
        <v>65</v>
      </c>
      <c r="G22" s="4" t="s">
        <v>16</v>
      </c>
      <c r="H22" s="5"/>
    </row>
    <row r="23" customFormat="false" ht="15" hidden="false" customHeight="false" outlineLevel="0" collapsed="false">
      <c r="A23" s="4" t="s">
        <v>49</v>
      </c>
      <c r="B23" s="4" t="s">
        <v>66</v>
      </c>
      <c r="C23" s="5" t="s">
        <v>67</v>
      </c>
      <c r="D23" s="5" t="s">
        <v>14</v>
      </c>
      <c r="E23" s="6" t="n">
        <v>40000</v>
      </c>
      <c r="F23" s="5" t="s">
        <v>68</v>
      </c>
      <c r="G23" s="4" t="s">
        <v>16</v>
      </c>
      <c r="H23" s="5"/>
    </row>
    <row r="24" customFormat="false" ht="15" hidden="false" customHeight="false" outlineLevel="0" collapsed="false">
      <c r="A24" s="7" t="s">
        <v>69</v>
      </c>
      <c r="B24" s="7" t="s">
        <v>19</v>
      </c>
      <c r="C24" s="8" t="s">
        <v>70</v>
      </c>
      <c r="D24" s="8" t="s">
        <v>21</v>
      </c>
      <c r="E24" s="9" t="n">
        <v>100002.61</v>
      </c>
      <c r="F24" s="8" t="s">
        <v>19</v>
      </c>
      <c r="G24" s="7" t="s">
        <v>22</v>
      </c>
      <c r="H24" s="8" t="s">
        <v>71</v>
      </c>
    </row>
    <row r="25" customFormat="false" ht="15" hidden="false" customHeight="false" outlineLevel="0" collapsed="false">
      <c r="A25" s="7" t="s">
        <v>69</v>
      </c>
      <c r="B25" s="7" t="s">
        <v>19</v>
      </c>
      <c r="C25" s="8" t="s">
        <v>70</v>
      </c>
      <c r="D25" s="8" t="s">
        <v>21</v>
      </c>
      <c r="E25" s="9" t="n">
        <v>34000</v>
      </c>
      <c r="F25" s="8" t="s">
        <v>19</v>
      </c>
      <c r="G25" s="7" t="s">
        <v>22</v>
      </c>
      <c r="H25" s="8" t="s">
        <v>36</v>
      </c>
    </row>
    <row r="26" customFormat="false" ht="26.85" hidden="false" customHeight="false" outlineLevel="0" collapsed="false">
      <c r="A26" s="7" t="s">
        <v>69</v>
      </c>
      <c r="B26" s="7" t="s">
        <v>19</v>
      </c>
      <c r="C26" s="8" t="s">
        <v>72</v>
      </c>
      <c r="D26" s="8" t="s">
        <v>47</v>
      </c>
      <c r="E26" s="9" t="n">
        <v>304775.3</v>
      </c>
      <c r="F26" s="8" t="s">
        <v>19</v>
      </c>
      <c r="G26" s="7" t="s">
        <v>22</v>
      </c>
      <c r="H26" s="8" t="s">
        <v>73</v>
      </c>
    </row>
    <row r="27" customFormat="false" ht="15" hidden="false" customHeight="false" outlineLevel="0" collapsed="false">
      <c r="A27" s="4" t="s">
        <v>69</v>
      </c>
      <c r="B27" s="4" t="s">
        <v>74</v>
      </c>
      <c r="C27" s="5" t="s">
        <v>75</v>
      </c>
      <c r="D27" s="5" t="s">
        <v>21</v>
      </c>
      <c r="E27" s="6" t="n">
        <v>200000</v>
      </c>
      <c r="F27" s="5" t="s">
        <v>76</v>
      </c>
      <c r="G27" s="4" t="s">
        <v>16</v>
      </c>
      <c r="H27" s="5" t="s">
        <v>77</v>
      </c>
    </row>
    <row r="28" customFormat="false" ht="15" hidden="false" customHeight="false" outlineLevel="0" collapsed="false">
      <c r="A28" s="4" t="s">
        <v>69</v>
      </c>
      <c r="B28" s="4" t="s">
        <v>78</v>
      </c>
      <c r="C28" s="5" t="s">
        <v>79</v>
      </c>
      <c r="D28" s="5" t="s">
        <v>14</v>
      </c>
      <c r="E28" s="6" t="n">
        <v>90723</v>
      </c>
      <c r="F28" s="5" t="s">
        <v>80</v>
      </c>
      <c r="G28" s="4" t="s">
        <v>16</v>
      </c>
      <c r="H28" s="5"/>
    </row>
    <row r="29" customFormat="false" ht="26.85" hidden="false" customHeight="false" outlineLevel="0" collapsed="false">
      <c r="A29" s="7" t="s">
        <v>69</v>
      </c>
      <c r="B29" s="7" t="s">
        <v>81</v>
      </c>
      <c r="C29" s="8" t="s">
        <v>82</v>
      </c>
      <c r="D29" s="8" t="s">
        <v>47</v>
      </c>
      <c r="E29" s="9" t="n">
        <v>58329</v>
      </c>
      <c r="F29" s="8" t="s">
        <v>83</v>
      </c>
      <c r="G29" s="7" t="s">
        <v>22</v>
      </c>
      <c r="H29" s="8" t="s">
        <v>84</v>
      </c>
    </row>
    <row r="30" customFormat="false" ht="15" hidden="false" customHeight="false" outlineLevel="0" collapsed="false">
      <c r="A30" s="4" t="s">
        <v>69</v>
      </c>
      <c r="B30" s="4" t="s">
        <v>85</v>
      </c>
      <c r="C30" s="5" t="s">
        <v>86</v>
      </c>
      <c r="D30" s="5" t="s">
        <v>14</v>
      </c>
      <c r="E30" s="6" t="n">
        <v>116318</v>
      </c>
      <c r="F30" s="5" t="s">
        <v>87</v>
      </c>
      <c r="G30" s="4" t="s">
        <v>16</v>
      </c>
      <c r="H30" s="5"/>
    </row>
    <row r="31" customFormat="false" ht="15" hidden="false" customHeight="false" outlineLevel="0" collapsed="false">
      <c r="A31" s="4" t="s">
        <v>69</v>
      </c>
      <c r="B31" s="4" t="s">
        <v>88</v>
      </c>
      <c r="C31" s="5" t="s">
        <v>89</v>
      </c>
      <c r="D31" s="5" t="s">
        <v>21</v>
      </c>
      <c r="E31" s="6" t="n">
        <v>54000</v>
      </c>
      <c r="F31" s="5" t="s">
        <v>90</v>
      </c>
      <c r="G31" s="4" t="s">
        <v>16</v>
      </c>
      <c r="H31" s="5"/>
    </row>
    <row r="32" customFormat="false" ht="15" hidden="false" customHeight="false" outlineLevel="0" collapsed="false">
      <c r="A32" s="7" t="s">
        <v>91</v>
      </c>
      <c r="B32" s="7" t="s">
        <v>92</v>
      </c>
      <c r="C32" s="8" t="s">
        <v>93</v>
      </c>
      <c r="D32" s="8" t="s">
        <v>94</v>
      </c>
      <c r="E32" s="9" t="n">
        <v>34345</v>
      </c>
      <c r="F32" s="8" t="s">
        <v>95</v>
      </c>
      <c r="G32" s="7" t="s">
        <v>22</v>
      </c>
      <c r="H32" s="8" t="s">
        <v>96</v>
      </c>
    </row>
    <row r="33" customFormat="false" ht="15" hidden="false" customHeight="false" outlineLevel="0" collapsed="false">
      <c r="A33" s="4" t="s">
        <v>91</v>
      </c>
      <c r="B33" s="4" t="s">
        <v>97</v>
      </c>
      <c r="C33" s="5" t="s">
        <v>98</v>
      </c>
      <c r="D33" s="5" t="s">
        <v>14</v>
      </c>
      <c r="E33" s="6" t="n">
        <v>35581</v>
      </c>
      <c r="F33" s="5" t="s">
        <v>99</v>
      </c>
      <c r="G33" s="4" t="s">
        <v>16</v>
      </c>
      <c r="H33" s="5"/>
    </row>
    <row r="34" customFormat="false" ht="15" hidden="false" customHeight="false" outlineLevel="0" collapsed="false">
      <c r="A34" s="4" t="s">
        <v>91</v>
      </c>
      <c r="B34" s="4" t="s">
        <v>100</v>
      </c>
      <c r="C34" s="5" t="s">
        <v>101</v>
      </c>
      <c r="D34" s="5" t="s">
        <v>14</v>
      </c>
      <c r="E34" s="6" t="n">
        <v>100000</v>
      </c>
      <c r="F34" s="5" t="s">
        <v>102</v>
      </c>
      <c r="G34" s="4" t="s">
        <v>16</v>
      </c>
      <c r="H34" s="5"/>
    </row>
    <row r="35" customFormat="false" ht="15" hidden="false" customHeight="false" outlineLevel="0" collapsed="false">
      <c r="A35" s="4" t="s">
        <v>91</v>
      </c>
      <c r="B35" s="4" t="s">
        <v>103</v>
      </c>
      <c r="C35" s="5" t="s">
        <v>104</v>
      </c>
      <c r="D35" s="5" t="s">
        <v>14</v>
      </c>
      <c r="E35" s="6" t="n">
        <v>10797</v>
      </c>
      <c r="F35" s="5" t="s">
        <v>105</v>
      </c>
      <c r="G35" s="4" t="s">
        <v>16</v>
      </c>
      <c r="H35" s="5"/>
    </row>
    <row r="36" customFormat="false" ht="26.85" hidden="false" customHeight="false" outlineLevel="0" collapsed="false">
      <c r="A36" s="7" t="s">
        <v>91</v>
      </c>
      <c r="B36" s="7" t="s">
        <v>106</v>
      </c>
      <c r="C36" s="8" t="s">
        <v>107</v>
      </c>
      <c r="D36" s="8" t="s">
        <v>94</v>
      </c>
      <c r="E36" s="9" t="n">
        <v>22339</v>
      </c>
      <c r="F36" s="8" t="s">
        <v>19</v>
      </c>
      <c r="G36" s="7" t="s">
        <v>22</v>
      </c>
      <c r="H36" s="8" t="s">
        <v>108</v>
      </c>
    </row>
    <row r="37" customFormat="false" ht="15" hidden="false" customHeight="false" outlineLevel="0" collapsed="false">
      <c r="A37" s="4" t="s">
        <v>91</v>
      </c>
      <c r="B37" s="4" t="s">
        <v>109</v>
      </c>
      <c r="C37" s="5" t="s">
        <v>110</v>
      </c>
      <c r="D37" s="5" t="s">
        <v>14</v>
      </c>
      <c r="E37" s="6" t="n">
        <v>13486</v>
      </c>
      <c r="F37" s="5" t="s">
        <v>111</v>
      </c>
      <c r="G37" s="4" t="s">
        <v>16</v>
      </c>
      <c r="H37" s="5"/>
    </row>
    <row r="38" customFormat="false" ht="15" hidden="false" customHeight="false" outlineLevel="0" collapsed="false">
      <c r="A38" s="4" t="s">
        <v>91</v>
      </c>
      <c r="B38" s="4" t="s">
        <v>112</v>
      </c>
      <c r="C38" s="5" t="s">
        <v>113</v>
      </c>
      <c r="D38" s="5" t="s">
        <v>14</v>
      </c>
      <c r="E38" s="6" t="n">
        <v>19987</v>
      </c>
      <c r="F38" s="5" t="s">
        <v>114</v>
      </c>
      <c r="G38" s="4" t="s">
        <v>16</v>
      </c>
      <c r="H38" s="5"/>
    </row>
    <row r="39" customFormat="false" ht="15" hidden="false" customHeight="false" outlineLevel="0" collapsed="false">
      <c r="A39" s="4" t="s">
        <v>115</v>
      </c>
      <c r="B39" s="4" t="s">
        <v>116</v>
      </c>
      <c r="C39" s="5" t="s">
        <v>110</v>
      </c>
      <c r="D39" s="5" t="s">
        <v>14</v>
      </c>
      <c r="E39" s="6" t="n">
        <v>44909</v>
      </c>
      <c r="F39" s="5" t="s">
        <v>117</v>
      </c>
      <c r="G39" s="4" t="s">
        <v>16</v>
      </c>
      <c r="H39" s="5" t="s">
        <v>118</v>
      </c>
    </row>
    <row r="40" customFormat="false" ht="15" hidden="false" customHeight="false" outlineLevel="0" collapsed="false">
      <c r="A40" s="4" t="s">
        <v>119</v>
      </c>
      <c r="B40" s="4" t="s">
        <v>120</v>
      </c>
      <c r="C40" s="5" t="s">
        <v>121</v>
      </c>
      <c r="D40" s="5" t="s">
        <v>14</v>
      </c>
      <c r="E40" s="6" t="n">
        <v>69700</v>
      </c>
      <c r="F40" s="5" t="s">
        <v>122</v>
      </c>
      <c r="G40" s="4" t="s">
        <v>16</v>
      </c>
      <c r="H40" s="5"/>
    </row>
    <row r="41" customFormat="false" ht="15" hidden="false" customHeight="false" outlineLevel="0" collapsed="false">
      <c r="A41" s="7" t="s">
        <v>119</v>
      </c>
      <c r="B41" s="7" t="s">
        <v>123</v>
      </c>
      <c r="C41" s="8" t="s">
        <v>124</v>
      </c>
      <c r="D41" s="8" t="s">
        <v>21</v>
      </c>
      <c r="E41" s="9" t="n">
        <v>153685</v>
      </c>
      <c r="F41" s="8" t="s">
        <v>19</v>
      </c>
      <c r="G41" s="7" t="s">
        <v>22</v>
      </c>
      <c r="H41" s="8" t="s">
        <v>125</v>
      </c>
    </row>
    <row r="42" customFormat="false" ht="15" hidden="false" customHeight="false" outlineLevel="0" collapsed="false">
      <c r="C42" s="10" t="s">
        <v>126</v>
      </c>
      <c r="D42" s="11" t="s">
        <v>127</v>
      </c>
      <c r="E42" s="12" t="n">
        <f aca="false">SUM(E6:E41)</f>
        <v>2094289.72</v>
      </c>
      <c r="F42" s="13" t="n">
        <f aca="false">COUNT(E6:E41)</f>
        <v>36</v>
      </c>
    </row>
    <row r="44" customFormat="false" ht="15" hidden="false" customHeight="false" outlineLevel="0" collapsed="false">
      <c r="A44" s="10" t="s">
        <v>128</v>
      </c>
    </row>
    <row r="45" customFormat="false" ht="15" hidden="false" customHeight="false" outlineLevel="0" collapsed="false">
      <c r="A45" s="14" t="s">
        <v>129</v>
      </c>
    </row>
    <row r="46" customFormat="false" ht="15" hidden="false" customHeight="false" outlineLevel="0" collapsed="false">
      <c r="A46" s="14" t="s">
        <v>130</v>
      </c>
    </row>
    <row r="47" customFormat="false" ht="15" hidden="false" customHeight="false" outlineLevel="0" collapsed="false">
      <c r="A47" s="14" t="s">
        <v>131</v>
      </c>
    </row>
    <row r="48" customFormat="false" ht="15" hidden="false" customHeight="false" outlineLevel="0" collapsed="false">
      <c r="A48" s="14" t="s">
        <v>132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2026-06-17T04:34:14Z</dcterms:created>
  <dc:creator>openpyxl</dc:creator>
  <dc:description/>
  <dc:language>en-US</dc:language>
  <cp:lastModifiedBy/>
  <dcterms:modified xsi:type="dcterms:W3CDTF">2026-06-17T04:34:14Z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